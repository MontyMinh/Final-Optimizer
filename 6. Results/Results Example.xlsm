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onty.minh\Documents\Optimizer\6. Results\"/>
    </mc:Choice>
  </mc:AlternateContent>
  <xr:revisionPtr revIDLastSave="0" documentId="13_ncr:1_{54788D70-EAF2-459A-859A-259C78FC2183}" xr6:coauthVersionLast="47" xr6:coauthVersionMax="47" xr10:uidLastSave="{00000000-0000-0000-0000-000000000000}"/>
  <bookViews>
    <workbookView xWindow="-120" yWindow="-120" windowWidth="29040" windowHeight="15840" tabRatio="902" firstSheet="4" activeTab="22" xr2:uid="{00000000-000D-0000-FFFF-FFFF00000000}"/>
  </bookViews>
  <sheets>
    <sheet name="Table of Contents" sheetId="42" r:id="rId1"/>
    <sheet name="Inbound Cost Per Factory" sheetId="1" r:id="rId2"/>
    <sheet name="Outbound Cost Per Customer" sheetId="2" r:id="rId3"/>
    <sheet name="Inbound Volume Per Factory" sheetId="3" r:id="rId4"/>
    <sheet name="Bag" sheetId="41" r:id="rId5"/>
    <sheet name="Bulk" sheetId="40" r:id="rId6"/>
    <sheet name="Pivot" sheetId="39" r:id="rId7"/>
    <sheet name="Outbound Volume Per Customer" sheetId="4" r:id="rId8"/>
    <sheet name="ICF" sheetId="5" r:id="rId9"/>
    <sheet name="ICF - Bag" sheetId="8" r:id="rId10"/>
    <sheet name="ICF - Bulk" sheetId="9" r:id="rId11"/>
    <sheet name="OCF" sheetId="7" r:id="rId12"/>
    <sheet name="OCF - Bag" sheetId="12" r:id="rId13"/>
    <sheet name="OCF - Bulk" sheetId="11" r:id="rId14"/>
    <sheet name="OCP" sheetId="18" r:id="rId15"/>
    <sheet name="OCP - Bag" sheetId="20" r:id="rId16"/>
    <sheet name="OCP - Bulk" sheetId="19" r:id="rId17"/>
    <sheet name="OVF" sheetId="13" r:id="rId18"/>
    <sheet name="OVF - Bag" sheetId="16" r:id="rId19"/>
    <sheet name="OVF - Bulk" sheetId="15" r:id="rId20"/>
    <sheet name="OVP" sheetId="21" r:id="rId21"/>
    <sheet name="OVP - Bag" sheetId="23" r:id="rId22"/>
    <sheet name="OVP - Bulk" sheetId="22" r:id="rId23"/>
  </sheets>
  <calcPr calcId="191029"/>
  <pivotCaches>
    <pivotCache cacheId="1" r:id="rId24"/>
    <pivotCache cacheId="2" r:id="rId25"/>
    <pivotCache cacheId="3" r:id="rId26"/>
    <pivotCache cacheId="4" r:id="rId2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2" i="8" l="1"/>
</calcChain>
</file>

<file path=xl/sharedStrings.xml><?xml version="1.0" encoding="utf-8"?>
<sst xmlns="http://schemas.openxmlformats.org/spreadsheetml/2006/main" count="237" uniqueCount="39">
  <si>
    <t>Factory</t>
  </si>
  <si>
    <t>Product</t>
  </si>
  <si>
    <t>Binh Dinh</t>
  </si>
  <si>
    <t>Hai Phong</t>
  </si>
  <si>
    <t>Bag</t>
  </si>
  <si>
    <t>Bulk</t>
  </si>
  <si>
    <t>ID</t>
  </si>
  <si>
    <t>Province</t>
  </si>
  <si>
    <t>29SONNV</t>
  </si>
  <si>
    <t>29HUONGNT(BO)</t>
  </si>
  <si>
    <t>29DAIDX</t>
  </si>
  <si>
    <t>29MAUTVTTT</t>
  </si>
  <si>
    <t>29NGANNTTTT</t>
  </si>
  <si>
    <t>Grand Total</t>
  </si>
  <si>
    <t>Sum of 2022</t>
  </si>
  <si>
    <t>Sum of 2023</t>
  </si>
  <si>
    <t>(All)</t>
  </si>
  <si>
    <t>Values</t>
  </si>
  <si>
    <t>NAME</t>
  </si>
  <si>
    <t>METRIC</t>
  </si>
  <si>
    <t>COLORING</t>
  </si>
  <si>
    <t>COST</t>
  </si>
  <si>
    <t>VOLUME</t>
  </si>
  <si>
    <t>ICF</t>
  </si>
  <si>
    <t>OCF</t>
  </si>
  <si>
    <t>ICF - PRODUCT NAME</t>
  </si>
  <si>
    <t>OCF - PRODUCT NAME</t>
  </si>
  <si>
    <t>OCP</t>
  </si>
  <si>
    <t>OCP - PRODUCT NAME</t>
  </si>
  <si>
    <t>OVF - PRODUCT NAME</t>
  </si>
  <si>
    <t>OVP</t>
  </si>
  <si>
    <t>OVP - PRODUCT NAME</t>
  </si>
  <si>
    <t>OVF</t>
  </si>
  <si>
    <t>Inbound / Outbound</t>
  </si>
  <si>
    <t>1st Character</t>
  </si>
  <si>
    <t>2nd Character</t>
  </si>
  <si>
    <t>Cost / Volume</t>
  </si>
  <si>
    <t>3rd Character</t>
  </si>
  <si>
    <t>Per Factory / Per Province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</si>
</sst>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rgb="FFFFFFF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rgb="FFFFFFFF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8"/>
      <color rgb="FFFFFFFF"/>
      <name val="Cambria"/>
      <family val="2"/>
      <scheme val="major"/>
    </font>
    <font>
      <sz val="11"/>
      <color rgb="FF000000"/>
      <name val="Calibri"/>
      <family val="2"/>
      <scheme val="minor"/>
    </font>
    <font>
      <i/>
      <sz val="11"/>
      <color rgb="FFFFFFFF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color theme="1" tint="0.499984740745262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2E3440"/>
        <bgColor indexed="64"/>
      </patternFill>
    </fill>
    <fill>
      <patternFill patternType="solid">
        <fgColor rgb="FFB2B2B2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454545"/>
      </left>
      <right style="thin">
        <color rgb="FF454545"/>
      </right>
      <top/>
      <bottom style="thin">
        <color rgb="FF454545"/>
      </bottom>
      <diagonal/>
    </border>
    <border>
      <left style="thin">
        <color rgb="FF454545"/>
      </left>
      <right style="thin">
        <color rgb="FF454545"/>
      </right>
      <top style="thin">
        <color rgb="FF454545"/>
      </top>
      <bottom style="thin">
        <color rgb="FF454545"/>
      </bottom>
      <diagonal/>
    </border>
    <border>
      <left/>
      <right style="thin">
        <color rgb="FF454545"/>
      </right>
      <top style="thin">
        <color rgb="FF454545"/>
      </top>
      <bottom style="thin">
        <color rgb="FF454545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454545"/>
      </left>
      <right style="thin">
        <color rgb="FF454545"/>
      </right>
      <top/>
      <bottom/>
      <diagonal/>
    </border>
  </borders>
  <cellStyleXfs count="9">
    <xf numFmtId="0" fontId="0" fillId="2" borderId="6"/>
    <xf numFmtId="0" fontId="6" fillId="2" borderId="0" applyNumberFormat="0" applyAlignment="0" applyProtection="0"/>
    <xf numFmtId="0" fontId="3" fillId="2" borderId="1" applyNumberFormat="0" applyAlignment="0" applyProtection="0"/>
    <xf numFmtId="0" fontId="4" fillId="2" borderId="2" applyNumberFormat="0" applyAlignment="0" applyProtection="0"/>
    <xf numFmtId="0" fontId="5" fillId="2" borderId="3" applyNumberFormat="0" applyAlignment="0" applyProtection="0"/>
    <xf numFmtId="0" fontId="5" fillId="2" borderId="0" applyNumberFormat="0" applyAlignment="0" applyProtection="0"/>
    <xf numFmtId="0" fontId="7" fillId="3" borderId="6" applyNumberFormat="0" applyAlignment="0" applyProtection="0"/>
    <xf numFmtId="0" fontId="8" fillId="2" borderId="6" applyNumberFormat="0" applyAlignment="0" applyProtection="0"/>
    <xf numFmtId="0" fontId="5" fillId="2" borderId="4" applyNumberFormat="0" applyAlignment="0" applyProtection="0"/>
  </cellStyleXfs>
  <cellXfs count="26">
    <xf numFmtId="0" fontId="0" fillId="2" borderId="6" xfId="0"/>
    <xf numFmtId="0" fontId="0" fillId="2" borderId="7" xfId="0" applyBorder="1"/>
    <xf numFmtId="0" fontId="0" fillId="2" borderId="5" xfId="0" applyBorder="1"/>
    <xf numFmtId="0" fontId="1" fillId="2" borderId="8" xfId="0" applyFont="1" applyBorder="1" applyAlignment="1">
      <alignment horizontal="center" vertical="center"/>
    </xf>
    <xf numFmtId="0" fontId="0" fillId="2" borderId="8" xfId="0" applyBorder="1" applyAlignment="1">
      <alignment horizontal="center" vertical="center"/>
    </xf>
    <xf numFmtId="0" fontId="9" fillId="2" borderId="8" xfId="0" applyFont="1" applyBorder="1" applyAlignment="1">
      <alignment horizontal="center" vertical="center"/>
    </xf>
    <xf numFmtId="0" fontId="2" fillId="2" borderId="8" xfId="0" applyFont="1" applyBorder="1" applyAlignment="1">
      <alignment horizontal="center" vertical="center"/>
    </xf>
    <xf numFmtId="0" fontId="0" fillId="2" borderId="6" xfId="0" pivotButton="1"/>
    <xf numFmtId="0" fontId="0" fillId="2" borderId="6" xfId="0" applyNumberFormat="1"/>
    <xf numFmtId="0" fontId="5" fillId="2" borderId="6" xfId="0" applyFont="1" applyAlignment="1">
      <alignment horizontal="center" vertical="center"/>
    </xf>
    <xf numFmtId="0" fontId="5" fillId="2" borderId="8" xfId="0" applyFont="1" applyBorder="1" applyAlignment="1">
      <alignment horizontal="center" vertical="center"/>
    </xf>
    <xf numFmtId="0" fontId="0" fillId="2" borderId="8" xfId="0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2" borderId="8" xfId="0" applyFill="1" applyBorder="1" applyAlignment="1">
      <alignment horizontal="center" vertical="center"/>
    </xf>
    <xf numFmtId="0" fontId="0" fillId="13" borderId="8" xfId="0" applyFill="1" applyBorder="1" applyAlignment="1">
      <alignment horizontal="center" vertical="center"/>
    </xf>
    <xf numFmtId="0" fontId="0" fillId="2" borderId="8" xfId="0" applyBorder="1" applyAlignment="1">
      <alignment horizontal="center" vertical="center"/>
    </xf>
    <xf numFmtId="0" fontId="0" fillId="2" borderId="7" xfId="0" applyBorder="1" applyAlignment="1">
      <alignment horizontal="center" vertical="center"/>
    </xf>
    <xf numFmtId="0" fontId="0" fillId="2" borderId="9" xfId="0" applyBorder="1"/>
    <xf numFmtId="0" fontId="0" fillId="2" borderId="8" xfId="0" applyBorder="1" applyAlignment="1">
      <alignment horizontal="center" vertical="center"/>
    </xf>
  </cellXfs>
  <cellStyles count="9">
    <cellStyle name="Explanatory Text" xfId="7" builtinId="53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Note" xfId="6" builtinId="10" customBuiltin="1"/>
    <cellStyle name="Title" xfId="1" builtinId="15" customBuiltin="1"/>
    <cellStyle name="Total" xfId="8" builtinId="25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4.xml"/><Relationship Id="rId30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nh, Monty (Pham Nhat Minh | General)" refreshedDate="44713.938893402781" createdVersion="8" refreshedVersion="8" minRefreshableVersion="3" recordCount="5" xr:uid="{40AFCFCC-513B-4668-B73C-09EAC7415518}">
  <cacheSource type="worksheet">
    <worksheetSource ref="A1:F6" sheet="Outbound Cost Per Customer"/>
  </cacheSource>
  <cacheFields count="6">
    <cacheField name="ID" numFmtId="0">
      <sharedItems count="5">
        <s v="29SONNV"/>
        <s v="29HUONGNT(BO)"/>
        <s v="29DAIDX"/>
        <s v="29MAUTVTTT"/>
        <s v="29NGANNTTTT"/>
      </sharedItems>
    </cacheField>
    <cacheField name="Product" numFmtId="0">
      <sharedItems count="2">
        <s v="Bag"/>
        <s v="Bulk"/>
      </sharedItems>
    </cacheField>
    <cacheField name="Province" numFmtId="0">
      <sharedItems containsSemiMixedTypes="0" containsString="0" containsNumber="1" containsInteger="1" minValue="1" maxValue="3" count="3">
        <n v="3"/>
        <n v="1"/>
        <n v="2"/>
      </sharedItems>
    </cacheField>
    <cacheField name="Factory" numFmtId="0">
      <sharedItems count="2">
        <s v="Binh Dinh"/>
        <s v="Hai Phong"/>
      </sharedItems>
    </cacheField>
    <cacheField name="2022" numFmtId="0">
      <sharedItems containsSemiMixedTypes="0" containsString="0" containsNumber="1" containsInteger="1" minValue="400" maxValue="1200" count="5">
        <n v="600"/>
        <n v="400"/>
        <n v="900"/>
        <n v="1200"/>
        <n v="1050"/>
      </sharedItems>
    </cacheField>
    <cacheField name="2023" numFmtId="0">
      <sharedItems containsSemiMixedTypes="0" containsString="0" containsNumber="1" containsInteger="1" minValue="480" maxValue="1320" count="5">
        <n v="1260"/>
        <n v="480"/>
        <n v="1080"/>
        <n v="1320"/>
        <n v="119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nh, Monty (Pham Nhat Minh | General)" refreshedDate="44713.977958796298" createdVersion="8" refreshedVersion="8" minRefreshableVersion="3" recordCount="3" xr:uid="{91129AE2-CDA7-457C-9308-C3EA29CC3B4D}">
  <cacheSource type="worksheet">
    <worksheetSource ref="A1:D4" sheet="Inbound Cost Per Factory"/>
  </cacheSource>
  <cacheFields count="4">
    <cacheField name="Factory" numFmtId="0">
      <sharedItems count="2">
        <s v="Binh Dinh"/>
        <s v="Hai Phong"/>
      </sharedItems>
    </cacheField>
    <cacheField name="Product" numFmtId="0">
      <sharedItems count="2">
        <s v="Bag"/>
        <s v="Bulk"/>
      </sharedItems>
    </cacheField>
    <cacheField name="2022" numFmtId="0">
      <sharedItems containsSemiMixedTypes="0" containsString="0" containsNumber="1" containsInteger="1" minValue="300" maxValue="1350"/>
    </cacheField>
    <cacheField name="2023" numFmtId="0">
      <sharedItems containsSemiMixedTypes="0" containsString="0" containsNumber="1" containsInteger="1" minValue="360" maxValue="15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nh, Monty (Pham Nhat Minh | General)" refreshedDate="44713.982462499996" createdVersion="8" refreshedVersion="8" minRefreshableVersion="3" recordCount="5" xr:uid="{B735A40C-1636-4262-9FED-0E0CC239756E}">
  <cacheSource type="worksheet">
    <worksheetSource ref="A1:F6" sheet="Outbound Volume Per Customer"/>
  </cacheSource>
  <cacheFields count="6">
    <cacheField name="ID" numFmtId="0">
      <sharedItems/>
    </cacheField>
    <cacheField name="Product" numFmtId="0">
      <sharedItems count="2">
        <s v="Bag"/>
        <s v="Bulk"/>
      </sharedItems>
    </cacheField>
    <cacheField name="Province" numFmtId="0">
      <sharedItems containsSemiMixedTypes="0" containsString="0" containsNumber="1" containsInteger="1" minValue="1" maxValue="3" count="3">
        <n v="3"/>
        <n v="1"/>
        <n v="2"/>
      </sharedItems>
    </cacheField>
    <cacheField name="Factory" numFmtId="0">
      <sharedItems count="2">
        <s v="Binh Dinh"/>
        <s v="Hai Phong"/>
      </sharedItems>
    </cacheField>
    <cacheField name="2022" numFmtId="0">
      <sharedItems containsSemiMixedTypes="0" containsString="0" containsNumber="1" containsInteger="1" minValue="10" maxValue="20"/>
    </cacheField>
    <cacheField name="2023" numFmtId="0">
      <sharedItems containsSemiMixedTypes="0" containsString="0" containsNumber="1" containsInteger="1" minValue="12" maxValue="4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nh, Monty (Pham Nhat Minh | General)" refreshedDate="44714.865851388888" createdVersion="8" refreshedVersion="8" minRefreshableVersion="3" recordCount="5" xr:uid="{3426AA6F-383E-4EDB-B137-3ACB7324E6E4}">
  <cacheSource type="worksheet">
    <worksheetSource ref="A1:F6" sheet="Outbound Volume Per Customer"/>
  </cacheSource>
  <cacheFields count="6">
    <cacheField name="ID" numFmtId="0">
      <sharedItems/>
    </cacheField>
    <cacheField name="Product" numFmtId="0">
      <sharedItems count="2">
        <s v="Bag"/>
        <s v="Bulk"/>
      </sharedItems>
    </cacheField>
    <cacheField name="Province" numFmtId="0">
      <sharedItems containsSemiMixedTypes="0" containsString="0" containsNumber="1" containsInteger="1" minValue="1" maxValue="3" count="3">
        <n v="3"/>
        <n v="1"/>
        <n v="2"/>
      </sharedItems>
    </cacheField>
    <cacheField name="Factory" numFmtId="0">
      <sharedItems count="2">
        <s v="Binh Dinh"/>
        <s v="Hai Phong"/>
      </sharedItems>
    </cacheField>
    <cacheField name="2022" numFmtId="0">
      <sharedItems containsSemiMixedTypes="0" containsString="0" containsNumber="1" containsInteger="1" minValue="10" maxValue="20"/>
    </cacheField>
    <cacheField name="2023" numFmtId="0">
      <sharedItems containsSemiMixedTypes="0" containsString="0" containsNumber="1" containsInteger="1" minValue="12" maxValue="4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x v="0"/>
    <x v="0"/>
    <x v="0"/>
    <x v="0"/>
    <x v="0"/>
  </r>
  <r>
    <x v="1"/>
    <x v="0"/>
    <x v="1"/>
    <x v="1"/>
    <x v="1"/>
    <x v="1"/>
  </r>
  <r>
    <x v="2"/>
    <x v="1"/>
    <x v="1"/>
    <x v="0"/>
    <x v="2"/>
    <x v="2"/>
  </r>
  <r>
    <x v="3"/>
    <x v="1"/>
    <x v="2"/>
    <x v="0"/>
    <x v="3"/>
    <x v="3"/>
  </r>
  <r>
    <x v="4"/>
    <x v="1"/>
    <x v="2"/>
    <x v="0"/>
    <x v="4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x v="0"/>
    <n v="600"/>
    <n v="1260"/>
  </r>
  <r>
    <x v="1"/>
    <x v="0"/>
    <n v="300"/>
    <n v="360"/>
  </r>
  <r>
    <x v="0"/>
    <x v="1"/>
    <n v="1350"/>
    <n v="153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s v="29SONNV"/>
    <x v="0"/>
    <x v="0"/>
    <x v="0"/>
    <n v="20"/>
    <n v="42"/>
  </r>
  <r>
    <s v="29HUONGNT(BO)"/>
    <x v="0"/>
    <x v="1"/>
    <x v="1"/>
    <n v="10"/>
    <n v="12"/>
  </r>
  <r>
    <s v="29DAIDX"/>
    <x v="1"/>
    <x v="1"/>
    <x v="0"/>
    <n v="10"/>
    <n v="12"/>
  </r>
  <r>
    <s v="29MAUTVTTT"/>
    <x v="1"/>
    <x v="2"/>
    <x v="0"/>
    <n v="20"/>
    <n v="22"/>
  </r>
  <r>
    <s v="29NGANNTTTT"/>
    <x v="1"/>
    <x v="2"/>
    <x v="0"/>
    <n v="15"/>
    <n v="1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s v="29SONNV"/>
    <x v="0"/>
    <x v="0"/>
    <x v="0"/>
    <n v="20"/>
    <n v="42"/>
  </r>
  <r>
    <s v="29HUONGNT(BO)"/>
    <x v="0"/>
    <x v="1"/>
    <x v="1"/>
    <n v="10"/>
    <n v="12"/>
  </r>
  <r>
    <s v="29DAIDX"/>
    <x v="1"/>
    <x v="1"/>
    <x v="0"/>
    <n v="10"/>
    <n v="12"/>
  </r>
  <r>
    <s v="29MAUTVTTT"/>
    <x v="1"/>
    <x v="2"/>
    <x v="0"/>
    <n v="20"/>
    <n v="22"/>
  </r>
  <r>
    <s v="29NGANNTTTT"/>
    <x v="1"/>
    <x v="2"/>
    <x v="0"/>
    <n v="15"/>
    <n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0263D1-25B3-4E90-9B45-66165B0087E9}" name="PivotTable16" cacheId="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outline="1" outlineData="1" compactData="0" multipleFieldFilters="0" fieldListSortAscending="1">
  <location ref="A3:E7" firstHeaderRow="1" firstDataRow="3" firstDataCol="1" rowPageCount="1" colPageCount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4">
        <item x="1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2">
    <i>
      <x/>
    </i>
    <i>
      <x v="2"/>
    </i>
  </rowItems>
  <colFields count="2">
    <field x="-2"/>
    <field x="3"/>
  </colFields>
  <colItems count="4">
    <i>
      <x/>
      <x/>
    </i>
    <i r="1">
      <x v="1"/>
    </i>
    <i i="1">
      <x v="1"/>
      <x/>
    </i>
    <i r="1" i="1">
      <x v="1"/>
    </i>
  </colItems>
  <pageFields count="1">
    <pageField fld="1" item="0" hier="-1"/>
  </pageField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0263D1-25B3-4E90-9B45-66165B0087E9}" name="PivotTable15" cacheId="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outline="1" outlineData="1" compactData="0" multipleFieldFilters="0" fieldListSortAscending="1">
  <location ref="A3:C7" firstHeaderRow="1" firstDataRow="3" firstDataCol="1" rowPageCount="1" colPageCount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4">
        <item x="1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2">
    <i>
      <x/>
    </i>
    <i>
      <x v="1"/>
    </i>
  </rowItems>
  <colFields count="2">
    <field x="-2"/>
    <field x="3"/>
  </colFields>
  <colItems count="2">
    <i>
      <x/>
      <x/>
    </i>
    <i i="1">
      <x v="1"/>
      <x/>
    </i>
  </colItems>
  <pageFields count="1">
    <pageField fld="1" item="1" hier="-1"/>
  </pageField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0263D1-25B3-4E90-9B45-66165B0087E9}" name="Pivot" cacheId="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outline="1" outlineData="1" compactData="0" multipleFieldFilters="0" fieldListSortAscending="1">
  <location ref="A3:E8" firstHeaderRow="1" firstDataRow="3" firstDataCol="1" rowPageCount="1" colPageCount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4">
        <item x="1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3">
    <i>
      <x/>
    </i>
    <i>
      <x v="1"/>
    </i>
    <i>
      <x v="2"/>
    </i>
  </rowItems>
  <colFields count="2">
    <field x="-2"/>
    <field x="3"/>
  </colFields>
  <colItems count="4">
    <i>
      <x/>
      <x/>
    </i>
    <i r="1">
      <x v="1"/>
    </i>
    <i i="1">
      <x v="1"/>
      <x/>
    </i>
    <i r="1" i="1">
      <x v="1"/>
    </i>
  </colItems>
  <pageFields count="1">
    <pageField fld="1" hier="-1"/>
  </pageField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65BE18-CB06-4171-B9B0-EED31AD034BE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fieldListSortAscending="1">
  <location ref="A3:C6" firstHeaderRow="0" firstDataRow="1" firstDataCol="1"/>
  <pivotFields count="4">
    <pivotField axis="axisRow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2022" fld="2" baseField="0" baseItem="0"/>
    <dataField name="Sum of 2023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62C994-C581-47DA-8FF4-6894A34665BD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fieldListSortAscending="1">
  <location ref="A3:C6" firstHeaderRow="0" firstDataRow="1" firstDataCol="1" rowPageCount="1" colPageCount="1"/>
  <pivotFields count="4">
    <pivotField axis="axisRow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0" hier="-1"/>
  </pageFields>
  <dataFields count="2">
    <dataField name="Sum of 2022" fld="2" baseField="0" baseItem="0"/>
    <dataField name="Sum of 2023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62C994-C581-47DA-8FF4-6894A34665BD}" name="PivotTable4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fieldListSortAscending="1">
  <location ref="A3:C5" firstHeaderRow="0" firstDataRow="1" firstDataCol="1" rowPageCount="1" colPageCount="1"/>
  <pivotFields count="4">
    <pivotField axis="axisRow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1" hier="-1"/>
  </pageFields>
  <dataFields count="2">
    <dataField name="Sum of 2022" fld="2" baseField="0" baseItem="0"/>
    <dataField name="Sum of 2023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717CB6-01E1-48AB-86FE-AF3C3B7C1E5B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fieldListSortAscending="1">
  <location ref="A3:C6" firstHeaderRow="0" firstDataRow="1" firstDataCol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7EB84E-ECB4-4F19-A0D6-8203201C2CDC}" name="PivotTable7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fieldListSortAscending="1">
  <location ref="A3:C6" firstHeaderRow="0" firstDataRow="1" firstDataCol="1" rowPageCount="1" colPageCount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0" hier="-1"/>
  </pageField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7EB84E-ECB4-4F19-A0D6-8203201C2CDC}" name="PivotTable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fieldListSortAscending="1">
  <location ref="A3:C5" firstHeaderRow="0" firstDataRow="1" firstDataCol="1" rowPageCount="1" colPageCount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1" hier="-1"/>
  </pageField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8C9D5F-DC6A-4F03-969B-F1188926621A}" name="PivotTable14" cacheId="1" dataPosition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outline="1" outlineData="1" compactData="0" multipleFieldFilters="0" fieldListSortAscending="1">
  <location ref="A3:E9" firstHeaderRow="1" firstDataRow="3" firstDataCol="1" rowPageCount="1" colPageCount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4">
        <item x="1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4">
    <i>
      <x/>
    </i>
    <i>
      <x v="1"/>
    </i>
    <i>
      <x v="2"/>
    </i>
    <i t="grand">
      <x/>
    </i>
  </rowItems>
  <colFields count="2">
    <field x="-2"/>
    <field x="3"/>
  </colFields>
  <colItems count="4">
    <i>
      <x/>
      <x/>
    </i>
    <i r="1">
      <x v="1"/>
    </i>
    <i i="1">
      <x v="1"/>
      <x/>
    </i>
    <i r="1" i="1">
      <x v="1"/>
    </i>
  </colItems>
  <pageFields count="1">
    <pageField fld="1" hier="-1"/>
  </pageField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8C9D5F-DC6A-4F03-969B-F1188926621A}" name="PivotTable16" cacheId="1" dataPosition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outline="1" outlineData="1" compactData="0" multipleFieldFilters="0" fieldListSortAscending="1">
  <location ref="A3:E8" firstHeaderRow="1" firstDataRow="3" firstDataCol="1" rowPageCount="1" colPageCount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4">
        <item x="1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3">
    <i>
      <x/>
    </i>
    <i>
      <x v="2"/>
    </i>
    <i t="grand">
      <x/>
    </i>
  </rowItems>
  <colFields count="2">
    <field x="-2"/>
    <field x="3"/>
  </colFields>
  <colItems count="4">
    <i>
      <x/>
      <x/>
    </i>
    <i r="1">
      <x v="1"/>
    </i>
    <i i="1">
      <x v="1"/>
      <x/>
    </i>
    <i r="1" i="1">
      <x v="1"/>
    </i>
  </colItems>
  <pageFields count="1">
    <pageField fld="1" item="0" hier="-1"/>
  </pageField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8C9D5F-DC6A-4F03-969B-F1188926621A}" name="PivotTable15" cacheId="1" dataPosition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outline="1" outlineData="1" compactData="0" multipleFieldFilters="0" fieldListSortAscending="1">
  <location ref="A3:C8" firstHeaderRow="1" firstDataRow="3" firstDataCol="1" rowPageCount="1" colPageCount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4">
        <item x="1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3">
    <i>
      <x/>
    </i>
    <i>
      <x v="1"/>
    </i>
    <i t="grand">
      <x/>
    </i>
  </rowItems>
  <colFields count="2">
    <field x="-2"/>
    <field x="3"/>
  </colFields>
  <colItems count="2">
    <i>
      <x/>
      <x/>
    </i>
    <i i="1">
      <x v="1"/>
      <x/>
    </i>
  </colItems>
  <pageFields count="1">
    <pageField fld="1" item="1" hier="-1"/>
  </pageField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CD4457-BED0-4B6C-8BAE-CBE257E0A659}" name="PivotTable8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fieldListSortAscending="1">
  <location ref="A3:C6" firstHeaderRow="0" firstDataRow="1" firstDataCol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433256-EACA-4401-AC23-E23C27845DC5}" name="PivotTable1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fieldListSortAscending="1">
  <location ref="A3:C6" firstHeaderRow="0" firstDataRow="1" firstDataCol="1" rowPageCount="1" colPageCount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0" hier="-1"/>
  </pageField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433256-EACA-4401-AC23-E23C27845DC5}" name="PivotTable10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 fieldListSortAscending="1">
  <location ref="A3:C5" firstHeaderRow="0" firstDataRow="1" firstDataCol="1" rowPageCount="1" colPageCount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1" hier="-1"/>
  </pageField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383DD4-FE41-4C6A-A0CD-03BF2F55EC3B}" name="PivotTable17" cacheId="3" dataPosition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outline="1" outlineData="1" compactData="0" multipleFieldFilters="0" fieldListSortAscending="1">
  <location ref="A3:E9" firstHeaderRow="1" firstDataRow="3" firstDataCol="1" rowPageCount="1" colPageCount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4">
        <item x="1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4">
    <i>
      <x/>
    </i>
    <i>
      <x v="1"/>
    </i>
    <i>
      <x v="2"/>
    </i>
    <i t="grand">
      <x/>
    </i>
  </rowItems>
  <colFields count="2">
    <field x="-2"/>
    <field x="3"/>
  </colFields>
  <colItems count="4">
    <i>
      <x/>
      <x/>
    </i>
    <i r="1">
      <x v="1"/>
    </i>
    <i i="1">
      <x v="1"/>
      <x/>
    </i>
    <i r="1" i="1">
      <x v="1"/>
    </i>
  </colItems>
  <pageFields count="1">
    <pageField fld="1" hier="-1"/>
  </pageField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383DD4-FE41-4C6A-A0CD-03BF2F55EC3B}" name="PivotTable19" cacheId="3" dataPosition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outline="1" outlineData="1" compactData="0" multipleFieldFilters="0" fieldListSortAscending="1">
  <location ref="A3:E8" firstHeaderRow="1" firstDataRow="3" firstDataCol="1" rowPageCount="1" colPageCount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4">
        <item x="1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3">
    <i>
      <x/>
    </i>
    <i>
      <x v="2"/>
    </i>
    <i t="grand">
      <x/>
    </i>
  </rowItems>
  <colFields count="2">
    <field x="-2"/>
    <field x="3"/>
  </colFields>
  <colItems count="4">
    <i>
      <x/>
      <x/>
    </i>
    <i r="1">
      <x v="1"/>
    </i>
    <i i="1">
      <x v="1"/>
      <x/>
    </i>
    <i r="1" i="1">
      <x v="1"/>
    </i>
  </colItems>
  <pageFields count="1">
    <pageField fld="1" item="0" hier="-1"/>
  </pageField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383DD4-FE41-4C6A-A0CD-03BF2F55EC3B}" name="PivotTable18" cacheId="3" dataPosition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outline="1" outlineData="1" compactData="0" multipleFieldFilters="0" fieldListSortAscending="1">
  <location ref="A3:C8" firstHeaderRow="1" firstDataRow="3" firstDataCol="1" rowPageCount="1" colPageCount="1"/>
  <pivotFields count="6">
    <pivotField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insertBlankRow="1">
      <items count="4">
        <item x="1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howAll="0" insertBlankRow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3">
    <i>
      <x/>
    </i>
    <i>
      <x v="1"/>
    </i>
    <i t="grand">
      <x/>
    </i>
  </rowItems>
  <colFields count="2">
    <field x="-2"/>
    <field x="3"/>
  </colFields>
  <colItems count="2">
    <i>
      <x/>
      <x/>
    </i>
    <i i="1">
      <x v="1"/>
      <x/>
    </i>
  </colItems>
  <pageFields count="1">
    <pageField fld="1" item="1" hier="-1"/>
  </pageFields>
  <dataFields count="2">
    <dataField name="Sum of 2022" fld="4" baseField="0" baseItem="0"/>
    <dataField name="Sum of 2023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AE536-CA3B-474C-B838-5C5161F03E31}">
  <sheetPr codeName="Sheet23"/>
  <dimension ref="A1:D16"/>
  <sheetViews>
    <sheetView workbookViewId="0">
      <selection activeCell="A2" sqref="A2:A11"/>
    </sheetView>
  </sheetViews>
  <sheetFormatPr defaultRowHeight="15" x14ac:dyDescent="0.25"/>
  <cols>
    <col min="1" max="1" width="20.7109375" bestFit="1" customWidth="1"/>
    <col min="2" max="2" width="22.28515625" bestFit="1" customWidth="1"/>
    <col min="3" max="3" width="9.85546875" bestFit="1" customWidth="1"/>
  </cols>
  <sheetData>
    <row r="1" spans="1:4" x14ac:dyDescent="0.25">
      <c r="A1" s="10" t="s">
        <v>18</v>
      </c>
      <c r="B1" s="10" t="s">
        <v>19</v>
      </c>
      <c r="C1" s="10" t="s">
        <v>20</v>
      </c>
      <c r="D1" s="1"/>
    </row>
    <row r="2" spans="1:4" x14ac:dyDescent="0.25">
      <c r="A2" s="4" t="s">
        <v>23</v>
      </c>
      <c r="B2" s="25" t="s">
        <v>21</v>
      </c>
      <c r="C2" s="12"/>
      <c r="D2" s="1"/>
    </row>
    <row r="3" spans="1:4" x14ac:dyDescent="0.25">
      <c r="A3" s="22" t="s">
        <v>25</v>
      </c>
      <c r="B3" s="25"/>
      <c r="C3" s="13"/>
      <c r="D3" s="1"/>
    </row>
    <row r="4" spans="1:4" x14ac:dyDescent="0.25">
      <c r="A4" s="4" t="s">
        <v>24</v>
      </c>
      <c r="B4" s="25"/>
      <c r="C4" s="14"/>
      <c r="D4" s="1"/>
    </row>
    <row r="5" spans="1:4" x14ac:dyDescent="0.25">
      <c r="A5" s="4" t="s">
        <v>26</v>
      </c>
      <c r="B5" s="25"/>
      <c r="C5" s="15"/>
      <c r="D5" s="1"/>
    </row>
    <row r="6" spans="1:4" x14ac:dyDescent="0.25">
      <c r="A6" s="4" t="s">
        <v>27</v>
      </c>
      <c r="B6" s="25"/>
      <c r="C6" s="16"/>
      <c r="D6" s="1"/>
    </row>
    <row r="7" spans="1:4" x14ac:dyDescent="0.25">
      <c r="A7" s="4" t="s">
        <v>28</v>
      </c>
      <c r="B7" s="25"/>
      <c r="C7" s="17"/>
      <c r="D7" s="1"/>
    </row>
    <row r="8" spans="1:4" x14ac:dyDescent="0.25">
      <c r="A8" s="4" t="s">
        <v>32</v>
      </c>
      <c r="B8" s="25" t="s">
        <v>22</v>
      </c>
      <c r="C8" s="18"/>
      <c r="D8" s="1"/>
    </row>
    <row r="9" spans="1:4" x14ac:dyDescent="0.25">
      <c r="A9" s="4" t="s">
        <v>29</v>
      </c>
      <c r="B9" s="25"/>
      <c r="C9" s="19"/>
      <c r="D9" s="1"/>
    </row>
    <row r="10" spans="1:4" x14ac:dyDescent="0.25">
      <c r="A10" s="4" t="s">
        <v>30</v>
      </c>
      <c r="B10" s="25"/>
      <c r="C10" s="20"/>
      <c r="D10" s="1"/>
    </row>
    <row r="11" spans="1:4" x14ac:dyDescent="0.25">
      <c r="A11" s="4" t="s">
        <v>31</v>
      </c>
      <c r="B11" s="25"/>
      <c r="C11" s="21"/>
      <c r="D11" s="1"/>
    </row>
    <row r="12" spans="1:4" x14ac:dyDescent="0.25">
      <c r="A12" s="24"/>
      <c r="B12" s="24"/>
      <c r="C12" s="2"/>
    </row>
    <row r="13" spans="1:4" x14ac:dyDescent="0.25">
      <c r="A13" s="11" t="s">
        <v>34</v>
      </c>
      <c r="B13" s="11" t="s">
        <v>33</v>
      </c>
      <c r="C13" s="23"/>
    </row>
    <row r="14" spans="1:4" x14ac:dyDescent="0.25">
      <c r="A14" s="11" t="s">
        <v>35</v>
      </c>
      <c r="B14" s="11" t="s">
        <v>36</v>
      </c>
      <c r="C14" s="23"/>
    </row>
    <row r="15" spans="1:4" x14ac:dyDescent="0.25">
      <c r="A15" s="11" t="s">
        <v>37</v>
      </c>
      <c r="B15" s="11" t="s">
        <v>38</v>
      </c>
      <c r="C15" s="23"/>
    </row>
    <row r="16" spans="1:4" x14ac:dyDescent="0.25">
      <c r="A16" s="2"/>
      <c r="B16" s="2"/>
    </row>
  </sheetData>
  <mergeCells count="2">
    <mergeCell ref="B2:B7"/>
    <mergeCell ref="B8:B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"/>
  <sheetViews>
    <sheetView zoomScale="92" zoomScaleNormal="92" workbookViewId="0"/>
  </sheetViews>
  <sheetFormatPr defaultRowHeight="15" x14ac:dyDescent="0.25"/>
  <cols>
    <col min="1" max="1" width="9.140625" bestFit="1" customWidth="1"/>
    <col min="2" max="2" width="7.42578125" bestFit="1" customWidth="1"/>
    <col min="3" max="4" width="7" customWidth="1"/>
  </cols>
  <sheetData>
    <row r="1" spans="1:5" x14ac:dyDescent="0.25">
      <c r="A1" s="3" t="s">
        <v>0</v>
      </c>
      <c r="B1" s="3" t="s">
        <v>1</v>
      </c>
      <c r="C1" s="3">
        <v>2022</v>
      </c>
      <c r="D1" s="3">
        <v>2023</v>
      </c>
      <c r="E1" s="1"/>
    </row>
    <row r="2" spans="1:5" x14ac:dyDescent="0.25">
      <c r="A2" s="4" t="s">
        <v>2</v>
      </c>
      <c r="B2" s="4" t="s">
        <v>4</v>
      </c>
      <c r="C2" s="4">
        <v>600</v>
      </c>
      <c r="D2" s="4">
        <v>1260</v>
      </c>
      <c r="E2" s="1"/>
    </row>
    <row r="3" spans="1:5" x14ac:dyDescent="0.25">
      <c r="A3" s="4" t="s">
        <v>3</v>
      </c>
      <c r="B3" s="4" t="s">
        <v>4</v>
      </c>
      <c r="C3" s="4">
        <v>300</v>
      </c>
      <c r="D3" s="4">
        <v>360</v>
      </c>
      <c r="E3" s="1"/>
    </row>
    <row r="4" spans="1:5" x14ac:dyDescent="0.25">
      <c r="A4" s="4" t="s">
        <v>2</v>
      </c>
      <c r="B4" s="4" t="s">
        <v>5</v>
      </c>
      <c r="C4" s="4">
        <v>1350</v>
      </c>
      <c r="D4" s="4">
        <v>1530</v>
      </c>
      <c r="E4" s="1"/>
    </row>
    <row r="5" spans="1:5" x14ac:dyDescent="0.25">
      <c r="A5" s="2"/>
      <c r="B5" s="2"/>
      <c r="C5" s="2"/>
      <c r="D5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7"/>
  <sheetViews>
    <sheetView zoomScale="92" zoomScaleNormal="92" workbookViewId="0">
      <selection activeCell="D16" sqref="D16"/>
    </sheetView>
  </sheetViews>
  <sheetFormatPr defaultRowHeight="15" x14ac:dyDescent="0.25"/>
  <cols>
    <col min="1" max="1" width="15.28515625" bestFit="1" customWidth="1"/>
    <col min="2" max="2" width="7.42578125" bestFit="1" customWidth="1"/>
    <col min="3" max="3" width="8" bestFit="1" customWidth="1"/>
    <col min="4" max="4" width="9.140625" bestFit="1" customWidth="1"/>
    <col min="5" max="6" width="8" customWidth="1"/>
  </cols>
  <sheetData>
    <row r="1" spans="1:7" x14ac:dyDescent="0.25">
      <c r="A1" s="3" t="s">
        <v>6</v>
      </c>
      <c r="B1" s="3" t="s">
        <v>1</v>
      </c>
      <c r="C1" s="3" t="s">
        <v>7</v>
      </c>
      <c r="D1" s="3" t="s">
        <v>0</v>
      </c>
      <c r="E1" s="3">
        <v>2022</v>
      </c>
      <c r="F1" s="3">
        <v>2023</v>
      </c>
      <c r="G1" s="1"/>
    </row>
    <row r="2" spans="1:7" x14ac:dyDescent="0.25">
      <c r="A2" s="6" t="s">
        <v>8</v>
      </c>
      <c r="B2" s="6" t="s">
        <v>4</v>
      </c>
      <c r="C2" s="6">
        <v>3</v>
      </c>
      <c r="D2" s="6" t="s">
        <v>2</v>
      </c>
      <c r="E2" s="6">
        <v>600</v>
      </c>
      <c r="F2" s="6">
        <v>1260</v>
      </c>
      <c r="G2" s="1"/>
    </row>
    <row r="3" spans="1:7" x14ac:dyDescent="0.25">
      <c r="A3" s="6" t="s">
        <v>9</v>
      </c>
      <c r="B3" s="6" t="s">
        <v>4</v>
      </c>
      <c r="C3" s="6">
        <v>1</v>
      </c>
      <c r="D3" s="6" t="s">
        <v>3</v>
      </c>
      <c r="E3" s="6">
        <v>400</v>
      </c>
      <c r="F3" s="6">
        <v>480</v>
      </c>
      <c r="G3" s="1"/>
    </row>
    <row r="4" spans="1:7" x14ac:dyDescent="0.25">
      <c r="A4" s="6" t="s">
        <v>10</v>
      </c>
      <c r="B4" s="6" t="s">
        <v>5</v>
      </c>
      <c r="C4" s="6">
        <v>1</v>
      </c>
      <c r="D4" s="6" t="s">
        <v>2</v>
      </c>
      <c r="E4" s="6">
        <v>900</v>
      </c>
      <c r="F4" s="6">
        <v>1080</v>
      </c>
      <c r="G4" s="1"/>
    </row>
    <row r="5" spans="1:7" x14ac:dyDescent="0.25">
      <c r="A5" s="6" t="s">
        <v>11</v>
      </c>
      <c r="B5" s="6" t="s">
        <v>5</v>
      </c>
      <c r="C5" s="6">
        <v>2</v>
      </c>
      <c r="D5" s="6" t="s">
        <v>2</v>
      </c>
      <c r="E5" s="6">
        <v>1200</v>
      </c>
      <c r="F5" s="6">
        <v>1320</v>
      </c>
      <c r="G5" s="1"/>
    </row>
    <row r="6" spans="1:7" x14ac:dyDescent="0.25">
      <c r="A6" s="6" t="s">
        <v>12</v>
      </c>
      <c r="B6" s="6" t="s">
        <v>5</v>
      </c>
      <c r="C6" s="6">
        <v>2</v>
      </c>
      <c r="D6" s="6" t="s">
        <v>2</v>
      </c>
      <c r="E6" s="6">
        <v>1050</v>
      </c>
      <c r="F6" s="6">
        <v>1190</v>
      </c>
      <c r="G6" s="1"/>
    </row>
    <row r="7" spans="1:7" x14ac:dyDescent="0.25">
      <c r="A7" s="2"/>
      <c r="B7" s="2"/>
      <c r="C7" s="2"/>
      <c r="D7" s="2"/>
      <c r="E7" s="2"/>
      <c r="F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5"/>
  <sheetViews>
    <sheetView zoomScale="98" zoomScaleNormal="98" workbookViewId="0">
      <selection activeCell="F6" activeCellId="1" sqref="A1 F6"/>
    </sheetView>
  </sheetViews>
  <sheetFormatPr defaultRowHeight="15" x14ac:dyDescent="0.25"/>
  <cols>
    <col min="1" max="1" width="9.140625" bestFit="1" customWidth="1"/>
    <col min="2" max="2" width="7.42578125" bestFit="1" customWidth="1"/>
    <col min="3" max="4" width="7" customWidth="1"/>
  </cols>
  <sheetData>
    <row r="1" spans="1:5" x14ac:dyDescent="0.25">
      <c r="A1" s="5" t="s">
        <v>0</v>
      </c>
      <c r="B1" s="5" t="s">
        <v>1</v>
      </c>
      <c r="C1" s="5">
        <v>2022</v>
      </c>
      <c r="D1" s="5">
        <v>2023</v>
      </c>
      <c r="E1" s="1"/>
    </row>
    <row r="2" spans="1:5" x14ac:dyDescent="0.25">
      <c r="A2" s="4" t="s">
        <v>2</v>
      </c>
      <c r="B2" s="4" t="s">
        <v>4</v>
      </c>
      <c r="C2" s="4">
        <v>20</v>
      </c>
      <c r="D2" s="4">
        <v>42</v>
      </c>
      <c r="E2" s="1"/>
    </row>
    <row r="3" spans="1:5" x14ac:dyDescent="0.25">
      <c r="A3" s="4" t="s">
        <v>3</v>
      </c>
      <c r="B3" s="4" t="s">
        <v>4</v>
      </c>
      <c r="C3" s="4">
        <v>10</v>
      </c>
      <c r="D3" s="4">
        <v>12</v>
      </c>
      <c r="E3" s="1"/>
    </row>
    <row r="4" spans="1:5" x14ac:dyDescent="0.25">
      <c r="A4" s="4" t="s">
        <v>2</v>
      </c>
      <c r="B4" s="4" t="s">
        <v>5</v>
      </c>
      <c r="C4" s="4">
        <v>45</v>
      </c>
      <c r="D4" s="4">
        <v>51</v>
      </c>
      <c r="E4" s="1"/>
    </row>
    <row r="5" spans="1:5" x14ac:dyDescent="0.25">
      <c r="A5" s="2"/>
      <c r="B5" s="2"/>
      <c r="C5" s="2"/>
      <c r="D5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D498C-B139-4663-AD22-5CD350A69D6B}">
  <sheetPr codeName="Sheet22"/>
  <dimension ref="A1:E7"/>
  <sheetViews>
    <sheetView workbookViewId="0">
      <selection activeCell="C8" sqref="C8"/>
    </sheetView>
  </sheetViews>
  <sheetFormatPr defaultRowHeight="15" x14ac:dyDescent="0.25"/>
  <cols>
    <col min="1" max="1" width="10.28515625" bestFit="1" customWidth="1"/>
    <col min="2" max="5" width="11.140625" bestFit="1" customWidth="1"/>
  </cols>
  <sheetData>
    <row r="1" spans="1:5" x14ac:dyDescent="0.25">
      <c r="A1" s="7" t="s">
        <v>1</v>
      </c>
      <c r="B1" t="s">
        <v>4</v>
      </c>
    </row>
    <row r="3" spans="1:5" x14ac:dyDescent="0.25">
      <c r="B3" s="7" t="s">
        <v>17</v>
      </c>
      <c r="C3" s="7" t="s">
        <v>0</v>
      </c>
    </row>
    <row r="4" spans="1:5" x14ac:dyDescent="0.25">
      <c r="B4" t="s">
        <v>14</v>
      </c>
      <c r="D4" t="s">
        <v>15</v>
      </c>
    </row>
    <row r="5" spans="1:5" x14ac:dyDescent="0.25">
      <c r="A5" s="7" t="s">
        <v>7</v>
      </c>
      <c r="B5" t="s">
        <v>2</v>
      </c>
      <c r="C5" t="s">
        <v>3</v>
      </c>
      <c r="D5" t="s">
        <v>2</v>
      </c>
      <c r="E5" t="s">
        <v>3</v>
      </c>
    </row>
    <row r="6" spans="1:5" x14ac:dyDescent="0.25">
      <c r="A6">
        <v>1</v>
      </c>
      <c r="B6" s="8"/>
      <c r="C6" s="8">
        <v>10</v>
      </c>
      <c r="D6" s="8"/>
      <c r="E6" s="8">
        <v>12</v>
      </c>
    </row>
    <row r="7" spans="1:5" x14ac:dyDescent="0.25">
      <c r="A7">
        <v>3</v>
      </c>
      <c r="B7" s="8">
        <v>20</v>
      </c>
      <c r="C7" s="8"/>
      <c r="D7" s="8">
        <v>42</v>
      </c>
      <c r="E7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E6148-EFEA-4F76-A2E2-F8CAC56F9575}">
  <sheetPr codeName="Sheet21"/>
  <dimension ref="A1:C7"/>
  <sheetViews>
    <sheetView topLeftCell="B1" workbookViewId="0">
      <selection activeCell="I8" sqref="I8"/>
    </sheetView>
  </sheetViews>
  <sheetFormatPr defaultRowHeight="15" x14ac:dyDescent="0.25"/>
  <cols>
    <col min="1" max="1" width="10.28515625" bestFit="1" customWidth="1"/>
    <col min="2" max="3" width="11.140625" bestFit="1" customWidth="1"/>
  </cols>
  <sheetData>
    <row r="1" spans="1:3" x14ac:dyDescent="0.25">
      <c r="A1" s="7" t="s">
        <v>1</v>
      </c>
      <c r="B1" t="s">
        <v>5</v>
      </c>
    </row>
    <row r="3" spans="1:3" x14ac:dyDescent="0.25">
      <c r="B3" s="7" t="s">
        <v>17</v>
      </c>
      <c r="C3" s="7" t="s">
        <v>0</v>
      </c>
    </row>
    <row r="4" spans="1:3" x14ac:dyDescent="0.25">
      <c r="B4" t="s">
        <v>14</v>
      </c>
      <c r="C4" t="s">
        <v>15</v>
      </c>
    </row>
    <row r="5" spans="1:3" x14ac:dyDescent="0.25">
      <c r="A5" s="7" t="s">
        <v>7</v>
      </c>
      <c r="B5" t="s">
        <v>2</v>
      </c>
      <c r="C5" t="s">
        <v>2</v>
      </c>
    </row>
    <row r="6" spans="1:3" x14ac:dyDescent="0.25">
      <c r="A6">
        <v>1</v>
      </c>
      <c r="B6" s="8">
        <v>10</v>
      </c>
      <c r="C6" s="8">
        <v>12</v>
      </c>
    </row>
    <row r="7" spans="1:3" x14ac:dyDescent="0.25">
      <c r="A7">
        <v>2</v>
      </c>
      <c r="B7" s="8">
        <v>35</v>
      </c>
      <c r="C7" s="8">
        <v>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388BE-6379-4726-A925-6C8AB76DC0E1}">
  <sheetPr codeName="Sheet20"/>
  <dimension ref="A1:E8"/>
  <sheetViews>
    <sheetView workbookViewId="0">
      <selection activeCell="A3" sqref="A3"/>
    </sheetView>
  </sheetViews>
  <sheetFormatPr defaultRowHeight="15" x14ac:dyDescent="0.25"/>
  <cols>
    <col min="1" max="1" width="10.28515625" bestFit="1" customWidth="1"/>
    <col min="2" max="5" width="11.140625" bestFit="1" customWidth="1"/>
  </cols>
  <sheetData>
    <row r="1" spans="1:5" x14ac:dyDescent="0.25">
      <c r="A1" s="7" t="s">
        <v>1</v>
      </c>
      <c r="B1" t="s">
        <v>16</v>
      </c>
    </row>
    <row r="3" spans="1:5" x14ac:dyDescent="0.25">
      <c r="B3" s="7" t="s">
        <v>17</v>
      </c>
      <c r="C3" s="7" t="s">
        <v>0</v>
      </c>
    </row>
    <row r="4" spans="1:5" x14ac:dyDescent="0.25">
      <c r="B4" t="s">
        <v>14</v>
      </c>
      <c r="D4" t="s">
        <v>15</v>
      </c>
    </row>
    <row r="5" spans="1:5" x14ac:dyDescent="0.25">
      <c r="A5" s="7" t="s">
        <v>7</v>
      </c>
      <c r="B5" t="s">
        <v>2</v>
      </c>
      <c r="C5" t="s">
        <v>3</v>
      </c>
      <c r="D5" t="s">
        <v>2</v>
      </c>
      <c r="E5" t="s">
        <v>3</v>
      </c>
    </row>
    <row r="6" spans="1:5" x14ac:dyDescent="0.25">
      <c r="A6">
        <v>1</v>
      </c>
      <c r="B6" s="8">
        <v>10</v>
      </c>
      <c r="C6" s="8">
        <v>10</v>
      </c>
      <c r="D6" s="8">
        <v>12</v>
      </c>
      <c r="E6" s="8">
        <v>12</v>
      </c>
    </row>
    <row r="7" spans="1:5" x14ac:dyDescent="0.25">
      <c r="A7">
        <v>2</v>
      </c>
      <c r="B7" s="8">
        <v>35</v>
      </c>
      <c r="C7" s="8"/>
      <c r="D7" s="8">
        <v>39</v>
      </c>
      <c r="E7" s="8"/>
    </row>
    <row r="8" spans="1:5" x14ac:dyDescent="0.25">
      <c r="A8">
        <v>3</v>
      </c>
      <c r="B8" s="8">
        <v>20</v>
      </c>
      <c r="C8" s="8"/>
      <c r="D8" s="8">
        <v>42</v>
      </c>
      <c r="E8" s="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7"/>
  <sheetViews>
    <sheetView zoomScale="88" zoomScaleNormal="88" workbookViewId="0"/>
  </sheetViews>
  <sheetFormatPr defaultRowHeight="15" x14ac:dyDescent="0.25"/>
  <cols>
    <col min="1" max="1" width="15.28515625" bestFit="1" customWidth="1"/>
    <col min="2" max="2" width="7.42578125" bestFit="1" customWidth="1"/>
    <col min="3" max="3" width="8" bestFit="1" customWidth="1"/>
    <col min="4" max="4" width="9.140625" bestFit="1" customWidth="1"/>
    <col min="5" max="6" width="8" customWidth="1"/>
  </cols>
  <sheetData>
    <row r="1" spans="1:7" x14ac:dyDescent="0.25">
      <c r="A1" s="3" t="s">
        <v>6</v>
      </c>
      <c r="B1" s="3" t="s">
        <v>1</v>
      </c>
      <c r="C1" s="3" t="s">
        <v>7</v>
      </c>
      <c r="D1" s="3" t="s">
        <v>0</v>
      </c>
      <c r="E1" s="3">
        <v>2022</v>
      </c>
      <c r="F1" s="3">
        <v>2023</v>
      </c>
      <c r="G1" s="1"/>
    </row>
    <row r="2" spans="1:7" x14ac:dyDescent="0.25">
      <c r="A2" s="6" t="s">
        <v>8</v>
      </c>
      <c r="B2" s="6" t="s">
        <v>4</v>
      </c>
      <c r="C2" s="6">
        <v>3</v>
      </c>
      <c r="D2" s="6" t="s">
        <v>2</v>
      </c>
      <c r="E2" s="6">
        <v>20</v>
      </c>
      <c r="F2" s="6">
        <v>42</v>
      </c>
      <c r="G2" s="1"/>
    </row>
    <row r="3" spans="1:7" x14ac:dyDescent="0.25">
      <c r="A3" s="6" t="s">
        <v>9</v>
      </c>
      <c r="B3" s="6" t="s">
        <v>4</v>
      </c>
      <c r="C3" s="6">
        <v>1</v>
      </c>
      <c r="D3" s="6" t="s">
        <v>3</v>
      </c>
      <c r="E3" s="6">
        <v>10</v>
      </c>
      <c r="F3" s="6">
        <v>12</v>
      </c>
      <c r="G3" s="1"/>
    </row>
    <row r="4" spans="1:7" x14ac:dyDescent="0.25">
      <c r="A4" s="6" t="s">
        <v>10</v>
      </c>
      <c r="B4" s="6" t="s">
        <v>5</v>
      </c>
      <c r="C4" s="6">
        <v>1</v>
      </c>
      <c r="D4" s="6" t="s">
        <v>2</v>
      </c>
      <c r="E4" s="6">
        <v>10</v>
      </c>
      <c r="F4" s="6">
        <v>12</v>
      </c>
      <c r="G4" s="1"/>
    </row>
    <row r="5" spans="1:7" x14ac:dyDescent="0.25">
      <c r="A5" s="6" t="s">
        <v>11</v>
      </c>
      <c r="B5" s="6" t="s">
        <v>5</v>
      </c>
      <c r="C5" s="6">
        <v>2</v>
      </c>
      <c r="D5" s="6" t="s">
        <v>2</v>
      </c>
      <c r="E5" s="6">
        <v>20</v>
      </c>
      <c r="F5" s="6">
        <v>22</v>
      </c>
      <c r="G5" s="1"/>
    </row>
    <row r="6" spans="1:7" x14ac:dyDescent="0.25">
      <c r="A6" s="6" t="s">
        <v>12</v>
      </c>
      <c r="B6" s="6" t="s">
        <v>5</v>
      </c>
      <c r="C6" s="6">
        <v>2</v>
      </c>
      <c r="D6" s="6" t="s">
        <v>2</v>
      </c>
      <c r="E6" s="6">
        <v>15</v>
      </c>
      <c r="F6" s="6">
        <v>17</v>
      </c>
      <c r="G6" s="1"/>
    </row>
    <row r="7" spans="1:7" x14ac:dyDescent="0.25">
      <c r="A7" s="2"/>
      <c r="B7" s="2"/>
      <c r="C7" s="2"/>
      <c r="D7" s="2"/>
      <c r="E7" s="2"/>
      <c r="F7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FA56E-2B03-4D89-83EB-A08786B31CEB}">
  <sheetPr codeName="Sheet5">
    <tabColor theme="0"/>
  </sheetPr>
  <dimension ref="A1:C6"/>
  <sheetViews>
    <sheetView zoomScale="95" zoomScaleNormal="95" workbookViewId="0"/>
  </sheetViews>
  <sheetFormatPr defaultRowHeight="15" x14ac:dyDescent="0.25"/>
  <cols>
    <col min="1" max="1" width="10.7109375" bestFit="1" customWidth="1"/>
    <col min="2" max="4" width="11.140625" bestFit="1" customWidth="1"/>
  </cols>
  <sheetData>
    <row r="1" spans="1:3" x14ac:dyDescent="0.25">
      <c r="A1" s="9"/>
    </row>
    <row r="3" spans="1:3" x14ac:dyDescent="0.25">
      <c r="A3" s="7" t="s">
        <v>0</v>
      </c>
      <c r="B3" t="s">
        <v>14</v>
      </c>
      <c r="C3" t="s">
        <v>15</v>
      </c>
    </row>
    <row r="4" spans="1:3" x14ac:dyDescent="0.25">
      <c r="A4" t="s">
        <v>2</v>
      </c>
      <c r="B4" s="8">
        <v>1950</v>
      </c>
      <c r="C4" s="8">
        <v>2790</v>
      </c>
    </row>
    <row r="5" spans="1:3" x14ac:dyDescent="0.25">
      <c r="A5" t="s">
        <v>3</v>
      </c>
      <c r="B5" s="8">
        <v>300</v>
      </c>
      <c r="C5" s="8">
        <v>360</v>
      </c>
    </row>
    <row r="6" spans="1:3" x14ac:dyDescent="0.25">
      <c r="A6" t="s">
        <v>13</v>
      </c>
      <c r="B6" s="8">
        <v>2250</v>
      </c>
      <c r="C6" s="8">
        <v>3150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32EAA-5AC0-49FB-B9D2-B68E6FEDE5E6}">
  <sheetPr codeName="Sheet7">
    <tabColor theme="1" tint="0.499984740745262"/>
  </sheetPr>
  <dimension ref="A1:D12"/>
  <sheetViews>
    <sheetView workbookViewId="0"/>
  </sheetViews>
  <sheetFormatPr defaultRowHeight="15" x14ac:dyDescent="0.25"/>
  <cols>
    <col min="1" max="1" width="10.7109375" bestFit="1" customWidth="1"/>
    <col min="2" max="3" width="11.140625" bestFit="1" customWidth="1"/>
  </cols>
  <sheetData>
    <row r="1" spans="1:4" x14ac:dyDescent="0.25">
      <c r="A1" s="7" t="s">
        <v>1</v>
      </c>
      <c r="B1" t="s">
        <v>4</v>
      </c>
    </row>
    <row r="3" spans="1:4" x14ac:dyDescent="0.25">
      <c r="A3" s="7" t="s">
        <v>0</v>
      </c>
      <c r="B3" t="s">
        <v>14</v>
      </c>
      <c r="C3" t="s">
        <v>15</v>
      </c>
    </row>
    <row r="4" spans="1:4" x14ac:dyDescent="0.25">
      <c r="A4" t="s">
        <v>2</v>
      </c>
      <c r="B4" s="8">
        <v>600</v>
      </c>
      <c r="C4" s="8">
        <v>1260</v>
      </c>
    </row>
    <row r="5" spans="1:4" x14ac:dyDescent="0.25">
      <c r="A5" t="s">
        <v>3</v>
      </c>
      <c r="B5" s="8">
        <v>300</v>
      </c>
      <c r="C5" s="8">
        <v>360</v>
      </c>
    </row>
    <row r="6" spans="1:4" x14ac:dyDescent="0.25">
      <c r="A6" t="s">
        <v>13</v>
      </c>
      <c r="B6" s="8">
        <v>900</v>
      </c>
      <c r="C6" s="8">
        <v>1620</v>
      </c>
    </row>
    <row r="11" spans="1:4" x14ac:dyDescent="0.25">
      <c r="C11">
        <v>1327.4</v>
      </c>
      <c r="D11">
        <v>1342.98</v>
      </c>
    </row>
    <row r="12" spans="1:4" x14ac:dyDescent="0.25">
      <c r="D12">
        <f>(D11-C11)/C11*100</f>
        <v>1.1737230676510417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017BA-CE65-42F3-9642-38ECA07FB293}">
  <sheetPr codeName="Sheet8">
    <tabColor theme="1" tint="0.499984740745262"/>
  </sheetPr>
  <dimension ref="A1:C5"/>
  <sheetViews>
    <sheetView workbookViewId="0"/>
  </sheetViews>
  <sheetFormatPr defaultRowHeight="15" x14ac:dyDescent="0.25"/>
  <cols>
    <col min="1" max="1" width="10.7109375" bestFit="1" customWidth="1"/>
    <col min="2" max="3" width="11.140625" bestFit="1" customWidth="1"/>
  </cols>
  <sheetData>
    <row r="1" spans="1:3" x14ac:dyDescent="0.25">
      <c r="A1" s="7" t="s">
        <v>1</v>
      </c>
      <c r="B1" t="s">
        <v>5</v>
      </c>
    </row>
    <row r="3" spans="1:3" x14ac:dyDescent="0.25">
      <c r="A3" s="7" t="s">
        <v>0</v>
      </c>
      <c r="B3" t="s">
        <v>14</v>
      </c>
      <c r="C3" t="s">
        <v>15</v>
      </c>
    </row>
    <row r="4" spans="1:3" x14ac:dyDescent="0.25">
      <c r="A4" t="s">
        <v>2</v>
      </c>
      <c r="B4" s="8">
        <v>1350</v>
      </c>
      <c r="C4" s="8">
        <v>1530</v>
      </c>
    </row>
    <row r="5" spans="1:3" x14ac:dyDescent="0.25">
      <c r="A5" t="s">
        <v>13</v>
      </c>
      <c r="B5" s="8">
        <v>1350</v>
      </c>
      <c r="C5" s="8">
        <v>1530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C8589-1815-4D1F-AA80-9BE39904F394}">
  <sheetPr codeName="Sheet6">
    <tabColor rgb="FFFF0000"/>
  </sheetPr>
  <dimension ref="A3:C6"/>
  <sheetViews>
    <sheetView workbookViewId="0">
      <selection activeCell="G16" sqref="G16"/>
    </sheetView>
  </sheetViews>
  <sheetFormatPr defaultRowHeight="15" x14ac:dyDescent="0.25"/>
  <cols>
    <col min="1" max="1" width="10.7109375" bestFit="1" customWidth="1"/>
    <col min="2" max="3" width="11.140625" bestFit="1" customWidth="1"/>
  </cols>
  <sheetData>
    <row r="3" spans="1:3" x14ac:dyDescent="0.25">
      <c r="A3" s="7" t="s">
        <v>0</v>
      </c>
      <c r="B3" t="s">
        <v>14</v>
      </c>
      <c r="C3" t="s">
        <v>15</v>
      </c>
    </row>
    <row r="4" spans="1:3" x14ac:dyDescent="0.25">
      <c r="A4" t="s">
        <v>2</v>
      </c>
      <c r="B4" s="8">
        <v>3750</v>
      </c>
      <c r="C4" s="8">
        <v>4850</v>
      </c>
    </row>
    <row r="5" spans="1:3" x14ac:dyDescent="0.25">
      <c r="A5" t="s">
        <v>3</v>
      </c>
      <c r="B5" s="8">
        <v>400</v>
      </c>
      <c r="C5" s="8">
        <v>480</v>
      </c>
    </row>
    <row r="6" spans="1:3" x14ac:dyDescent="0.25">
      <c r="A6" t="s">
        <v>13</v>
      </c>
      <c r="B6" s="8">
        <v>4150</v>
      </c>
      <c r="C6" s="8">
        <v>5330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5E7F7-61C4-4E69-A7EB-24CF6BF76EC3}">
  <sheetPr codeName="Sheet9">
    <tabColor rgb="FFFFC000"/>
  </sheetPr>
  <dimension ref="A1:C6"/>
  <sheetViews>
    <sheetView workbookViewId="0">
      <selection activeCell="A5" sqref="A5"/>
    </sheetView>
  </sheetViews>
  <sheetFormatPr defaultRowHeight="15" x14ac:dyDescent="0.25"/>
  <cols>
    <col min="1" max="1" width="10.7109375" bestFit="1" customWidth="1"/>
    <col min="2" max="3" width="11.140625" bestFit="1" customWidth="1"/>
  </cols>
  <sheetData>
    <row r="1" spans="1:3" x14ac:dyDescent="0.25">
      <c r="A1" s="7" t="s">
        <v>1</v>
      </c>
      <c r="B1" t="s">
        <v>4</v>
      </c>
    </row>
    <row r="3" spans="1:3" x14ac:dyDescent="0.25">
      <c r="A3" s="7" t="s">
        <v>0</v>
      </c>
      <c r="B3" t="s">
        <v>14</v>
      </c>
      <c r="C3" t="s">
        <v>15</v>
      </c>
    </row>
    <row r="4" spans="1:3" x14ac:dyDescent="0.25">
      <c r="A4" t="s">
        <v>2</v>
      </c>
      <c r="B4" s="8">
        <v>600</v>
      </c>
      <c r="C4" s="8">
        <v>1260</v>
      </c>
    </row>
    <row r="5" spans="1:3" x14ac:dyDescent="0.25">
      <c r="A5" t="s">
        <v>3</v>
      </c>
      <c r="B5" s="8">
        <v>400</v>
      </c>
      <c r="C5" s="8">
        <v>480</v>
      </c>
    </row>
    <row r="6" spans="1:3" x14ac:dyDescent="0.25">
      <c r="A6" t="s">
        <v>13</v>
      </c>
      <c r="B6" s="8">
        <v>1000</v>
      </c>
      <c r="C6" s="8">
        <v>1740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1FE15-A2A5-40BC-87F6-E4DCF354EDFB}">
  <sheetPr codeName="Sheet10">
    <tabColor rgb="FFFFC000"/>
  </sheetPr>
  <dimension ref="A1:C5"/>
  <sheetViews>
    <sheetView workbookViewId="0">
      <selection activeCell="C5" sqref="C5"/>
    </sheetView>
  </sheetViews>
  <sheetFormatPr defaultRowHeight="15" x14ac:dyDescent="0.25"/>
  <cols>
    <col min="1" max="1" width="10.7109375" bestFit="1" customWidth="1"/>
    <col min="2" max="3" width="11.140625" bestFit="1" customWidth="1"/>
  </cols>
  <sheetData>
    <row r="1" spans="1:3" x14ac:dyDescent="0.25">
      <c r="A1" s="7" t="s">
        <v>1</v>
      </c>
      <c r="B1" t="s">
        <v>5</v>
      </c>
    </row>
    <row r="3" spans="1:3" x14ac:dyDescent="0.25">
      <c r="A3" s="7" t="s">
        <v>0</v>
      </c>
      <c r="B3" t="s">
        <v>14</v>
      </c>
      <c r="C3" t="s">
        <v>15</v>
      </c>
    </row>
    <row r="4" spans="1:3" x14ac:dyDescent="0.25">
      <c r="A4" t="s">
        <v>2</v>
      </c>
      <c r="B4" s="8">
        <v>3150</v>
      </c>
      <c r="C4" s="8">
        <v>3590</v>
      </c>
    </row>
    <row r="5" spans="1:3" x14ac:dyDescent="0.25">
      <c r="A5" t="s">
        <v>13</v>
      </c>
      <c r="B5" s="8">
        <v>3150</v>
      </c>
      <c r="C5" s="8">
        <v>3590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23F2C-DB55-4A6D-8D02-6A4888683175}">
  <sheetPr codeName="Sheet11">
    <tabColor rgb="FFFFFF00"/>
  </sheetPr>
  <dimension ref="A1:E9"/>
  <sheetViews>
    <sheetView workbookViewId="0">
      <selection activeCell="D5" sqref="D5"/>
    </sheetView>
  </sheetViews>
  <sheetFormatPr defaultRowHeight="15" x14ac:dyDescent="0.25"/>
  <cols>
    <col min="1" max="1" width="10.7109375" bestFit="1" customWidth="1"/>
    <col min="2" max="5" width="11.140625" bestFit="1" customWidth="1"/>
    <col min="6" max="7" width="15.85546875" bestFit="1" customWidth="1"/>
  </cols>
  <sheetData>
    <row r="1" spans="1:5" x14ac:dyDescent="0.25">
      <c r="A1" s="7" t="s">
        <v>1</v>
      </c>
      <c r="B1" t="s">
        <v>16</v>
      </c>
    </row>
    <row r="3" spans="1:5" x14ac:dyDescent="0.25">
      <c r="B3" s="7" t="s">
        <v>17</v>
      </c>
      <c r="C3" s="7" t="s">
        <v>0</v>
      </c>
    </row>
    <row r="4" spans="1:5" x14ac:dyDescent="0.25">
      <c r="B4" t="s">
        <v>14</v>
      </c>
      <c r="D4" t="s">
        <v>15</v>
      </c>
    </row>
    <row r="5" spans="1:5" x14ac:dyDescent="0.25">
      <c r="A5" s="7" t="s">
        <v>7</v>
      </c>
      <c r="B5" t="s">
        <v>2</v>
      </c>
      <c r="C5" t="s">
        <v>3</v>
      </c>
      <c r="D5" t="s">
        <v>2</v>
      </c>
      <c r="E5" t="s">
        <v>3</v>
      </c>
    </row>
    <row r="6" spans="1:5" x14ac:dyDescent="0.25">
      <c r="A6">
        <v>1</v>
      </c>
      <c r="B6" s="8">
        <v>900</v>
      </c>
      <c r="C6" s="8">
        <v>400</v>
      </c>
      <c r="D6" s="8">
        <v>1080</v>
      </c>
      <c r="E6" s="8">
        <v>480</v>
      </c>
    </row>
    <row r="7" spans="1:5" x14ac:dyDescent="0.25">
      <c r="A7">
        <v>2</v>
      </c>
      <c r="B7" s="8">
        <v>2250</v>
      </c>
      <c r="C7" s="8"/>
      <c r="D7" s="8">
        <v>2510</v>
      </c>
      <c r="E7" s="8"/>
    </row>
    <row r="8" spans="1:5" x14ac:dyDescent="0.25">
      <c r="A8">
        <v>3</v>
      </c>
      <c r="B8" s="8">
        <v>600</v>
      </c>
      <c r="C8" s="8"/>
      <c r="D8" s="8">
        <v>1260</v>
      </c>
      <c r="E8" s="8"/>
    </row>
    <row r="9" spans="1:5" x14ac:dyDescent="0.25">
      <c r="A9" t="s">
        <v>13</v>
      </c>
      <c r="B9" s="8">
        <v>3750</v>
      </c>
      <c r="C9" s="8">
        <v>400</v>
      </c>
      <c r="D9" s="8">
        <v>4850</v>
      </c>
      <c r="E9" s="8">
        <v>480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1E12A-7DE5-4810-8406-022DEB60242B}">
  <sheetPr codeName="Sheet12">
    <tabColor rgb="FF00B050"/>
  </sheetPr>
  <dimension ref="A1:E8"/>
  <sheetViews>
    <sheetView workbookViewId="0">
      <selection activeCell="C5" sqref="C5"/>
    </sheetView>
  </sheetViews>
  <sheetFormatPr defaultRowHeight="15" x14ac:dyDescent="0.25"/>
  <cols>
    <col min="1" max="1" width="10.7109375" bestFit="1" customWidth="1"/>
    <col min="2" max="5" width="11.140625" bestFit="1" customWidth="1"/>
  </cols>
  <sheetData>
    <row r="1" spans="1:5" x14ac:dyDescent="0.25">
      <c r="A1" s="7" t="s">
        <v>1</v>
      </c>
      <c r="B1" t="s">
        <v>4</v>
      </c>
    </row>
    <row r="3" spans="1:5" x14ac:dyDescent="0.25">
      <c r="B3" s="7" t="s">
        <v>17</v>
      </c>
      <c r="C3" s="7" t="s">
        <v>0</v>
      </c>
    </row>
    <row r="4" spans="1:5" x14ac:dyDescent="0.25">
      <c r="B4" t="s">
        <v>14</v>
      </c>
      <c r="D4" t="s">
        <v>15</v>
      </c>
    </row>
    <row r="5" spans="1:5" x14ac:dyDescent="0.25">
      <c r="A5" s="7" t="s">
        <v>7</v>
      </c>
      <c r="B5" t="s">
        <v>2</v>
      </c>
      <c r="C5" t="s">
        <v>3</v>
      </c>
      <c r="D5" t="s">
        <v>2</v>
      </c>
      <c r="E5" t="s">
        <v>3</v>
      </c>
    </row>
    <row r="6" spans="1:5" x14ac:dyDescent="0.25">
      <c r="A6">
        <v>1</v>
      </c>
      <c r="B6" s="8"/>
      <c r="C6" s="8">
        <v>400</v>
      </c>
      <c r="D6" s="8"/>
      <c r="E6" s="8">
        <v>480</v>
      </c>
    </row>
    <row r="7" spans="1:5" x14ac:dyDescent="0.25">
      <c r="A7">
        <v>3</v>
      </c>
      <c r="B7" s="8">
        <v>600</v>
      </c>
      <c r="C7" s="8"/>
      <c r="D7" s="8">
        <v>1260</v>
      </c>
      <c r="E7" s="8"/>
    </row>
    <row r="8" spans="1:5" x14ac:dyDescent="0.25">
      <c r="A8" t="s">
        <v>13</v>
      </c>
      <c r="B8" s="8">
        <v>600</v>
      </c>
      <c r="C8" s="8">
        <v>400</v>
      </c>
      <c r="D8" s="8">
        <v>1260</v>
      </c>
      <c r="E8" s="8">
        <v>480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435D7-2177-4EC3-B7FC-FC15DB6CB8ED}">
  <sheetPr codeName="Sheet13">
    <tabColor rgb="FF00B050"/>
  </sheetPr>
  <dimension ref="A1:C8"/>
  <sheetViews>
    <sheetView workbookViewId="0">
      <selection activeCell="C5" sqref="C5"/>
    </sheetView>
  </sheetViews>
  <sheetFormatPr defaultRowHeight="15" x14ac:dyDescent="0.25"/>
  <cols>
    <col min="1" max="1" width="10.7109375" bestFit="1" customWidth="1"/>
    <col min="2" max="3" width="11.140625" bestFit="1" customWidth="1"/>
  </cols>
  <sheetData>
    <row r="1" spans="1:3" x14ac:dyDescent="0.25">
      <c r="A1" s="7" t="s">
        <v>1</v>
      </c>
      <c r="B1" t="s">
        <v>5</v>
      </c>
    </row>
    <row r="3" spans="1:3" x14ac:dyDescent="0.25">
      <c r="B3" s="7" t="s">
        <v>17</v>
      </c>
      <c r="C3" s="7" t="s">
        <v>0</v>
      </c>
    </row>
    <row r="4" spans="1:3" x14ac:dyDescent="0.25">
      <c r="B4" t="s">
        <v>14</v>
      </c>
      <c r="C4" t="s">
        <v>15</v>
      </c>
    </row>
    <row r="5" spans="1:3" x14ac:dyDescent="0.25">
      <c r="A5" s="7" t="s">
        <v>7</v>
      </c>
      <c r="B5" t="s">
        <v>2</v>
      </c>
      <c r="C5" t="s">
        <v>2</v>
      </c>
    </row>
    <row r="6" spans="1:3" x14ac:dyDescent="0.25">
      <c r="A6">
        <v>1</v>
      </c>
      <c r="B6" s="8">
        <v>900</v>
      </c>
      <c r="C6" s="8">
        <v>1080</v>
      </c>
    </row>
    <row r="7" spans="1:3" x14ac:dyDescent="0.25">
      <c r="A7">
        <v>2</v>
      </c>
      <c r="B7" s="8">
        <v>2250</v>
      </c>
      <c r="C7" s="8">
        <v>2510</v>
      </c>
    </row>
    <row r="8" spans="1:3" x14ac:dyDescent="0.25">
      <c r="A8" t="s">
        <v>13</v>
      </c>
      <c r="B8" s="8">
        <v>3150</v>
      </c>
      <c r="C8" s="8">
        <v>3590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EB5F8-22FA-4A9C-AC61-55560D6B8861}">
  <sheetPr codeName="Sheet14">
    <tabColor rgb="FF00B0F0"/>
  </sheetPr>
  <dimension ref="A3:C6"/>
  <sheetViews>
    <sheetView workbookViewId="0">
      <selection activeCell="C5" sqref="C5"/>
    </sheetView>
  </sheetViews>
  <sheetFormatPr defaultRowHeight="15" x14ac:dyDescent="0.25"/>
  <cols>
    <col min="1" max="1" width="10.7109375" bestFit="1" customWidth="1"/>
    <col min="2" max="3" width="11.140625" bestFit="1" customWidth="1"/>
  </cols>
  <sheetData>
    <row r="3" spans="1:3" x14ac:dyDescent="0.25">
      <c r="A3" s="7" t="s">
        <v>0</v>
      </c>
      <c r="B3" t="s">
        <v>14</v>
      </c>
      <c r="C3" t="s">
        <v>15</v>
      </c>
    </row>
    <row r="4" spans="1:3" x14ac:dyDescent="0.25">
      <c r="A4" t="s">
        <v>2</v>
      </c>
      <c r="B4" s="8">
        <v>65</v>
      </c>
      <c r="C4" s="8">
        <v>93</v>
      </c>
    </row>
    <row r="5" spans="1:3" x14ac:dyDescent="0.25">
      <c r="A5" t="s">
        <v>3</v>
      </c>
      <c r="B5" s="8">
        <v>10</v>
      </c>
      <c r="C5" s="8">
        <v>12</v>
      </c>
    </row>
    <row r="6" spans="1:3" x14ac:dyDescent="0.25">
      <c r="A6" t="s">
        <v>13</v>
      </c>
      <c r="B6" s="8">
        <v>75</v>
      </c>
      <c r="C6" s="8">
        <v>105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F68AE-A702-4DD0-9565-EB0824E6ED66}">
  <sheetPr codeName="Sheet15">
    <tabColor rgb="FF0070C0"/>
  </sheetPr>
  <dimension ref="A1:C6"/>
  <sheetViews>
    <sheetView workbookViewId="0">
      <selection activeCell="AA57" sqref="AA57"/>
    </sheetView>
  </sheetViews>
  <sheetFormatPr defaultRowHeight="15" x14ac:dyDescent="0.25"/>
  <cols>
    <col min="1" max="1" width="10.7109375" bestFit="1" customWidth="1"/>
    <col min="2" max="3" width="11.140625" bestFit="1" customWidth="1"/>
  </cols>
  <sheetData>
    <row r="1" spans="1:3" x14ac:dyDescent="0.25">
      <c r="A1" s="7" t="s">
        <v>1</v>
      </c>
      <c r="B1" t="s">
        <v>4</v>
      </c>
    </row>
    <row r="3" spans="1:3" x14ac:dyDescent="0.25">
      <c r="A3" s="7" t="s">
        <v>0</v>
      </c>
      <c r="B3" t="s">
        <v>14</v>
      </c>
      <c r="C3" t="s">
        <v>15</v>
      </c>
    </row>
    <row r="4" spans="1:3" x14ac:dyDescent="0.25">
      <c r="A4" t="s">
        <v>2</v>
      </c>
      <c r="B4" s="8">
        <v>20</v>
      </c>
      <c r="C4" s="8">
        <v>42</v>
      </c>
    </row>
    <row r="5" spans="1:3" x14ac:dyDescent="0.25">
      <c r="A5" t="s">
        <v>3</v>
      </c>
      <c r="B5" s="8">
        <v>10</v>
      </c>
      <c r="C5" s="8">
        <v>12</v>
      </c>
    </row>
    <row r="6" spans="1:3" x14ac:dyDescent="0.25">
      <c r="A6" t="s">
        <v>13</v>
      </c>
      <c r="B6" s="8">
        <v>30</v>
      </c>
      <c r="C6" s="8">
        <v>54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D9AA1-131E-48AE-9BA5-A25730D0E57A}">
  <sheetPr codeName="Sheet16">
    <tabColor rgb="FF0070C0"/>
  </sheetPr>
  <dimension ref="A1:C5"/>
  <sheetViews>
    <sheetView workbookViewId="0">
      <selection activeCell="C5" sqref="C5"/>
    </sheetView>
  </sheetViews>
  <sheetFormatPr defaultRowHeight="15" x14ac:dyDescent="0.25"/>
  <cols>
    <col min="1" max="1" width="10.7109375" bestFit="1" customWidth="1"/>
    <col min="2" max="3" width="11.140625" bestFit="1" customWidth="1"/>
  </cols>
  <sheetData>
    <row r="1" spans="1:3" x14ac:dyDescent="0.25">
      <c r="A1" s="7" t="s">
        <v>1</v>
      </c>
      <c r="B1" t="s">
        <v>5</v>
      </c>
    </row>
    <row r="3" spans="1:3" x14ac:dyDescent="0.25">
      <c r="A3" s="7" t="s">
        <v>0</v>
      </c>
      <c r="B3" t="s">
        <v>14</v>
      </c>
      <c r="C3" t="s">
        <v>15</v>
      </c>
    </row>
    <row r="4" spans="1:3" x14ac:dyDescent="0.25">
      <c r="A4" t="s">
        <v>2</v>
      </c>
      <c r="B4" s="8">
        <v>45</v>
      </c>
      <c r="C4" s="8">
        <v>51</v>
      </c>
    </row>
    <row r="5" spans="1:3" x14ac:dyDescent="0.25">
      <c r="A5" t="s">
        <v>13</v>
      </c>
      <c r="B5" s="8">
        <v>45</v>
      </c>
      <c r="C5" s="8">
        <v>51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75472-50EB-4A19-881A-9C7291EF12CC}">
  <sheetPr codeName="Sheet17">
    <tabColor rgb="FF002060"/>
  </sheetPr>
  <dimension ref="A1:E9"/>
  <sheetViews>
    <sheetView workbookViewId="0">
      <selection activeCell="C5" sqref="C5"/>
    </sheetView>
  </sheetViews>
  <sheetFormatPr defaultRowHeight="15" x14ac:dyDescent="0.25"/>
  <cols>
    <col min="1" max="1" width="10.7109375" bestFit="1" customWidth="1"/>
    <col min="2" max="5" width="11.140625" bestFit="1" customWidth="1"/>
    <col min="6" max="7" width="15.85546875" bestFit="1" customWidth="1"/>
  </cols>
  <sheetData>
    <row r="1" spans="1:5" x14ac:dyDescent="0.25">
      <c r="A1" s="7" t="s">
        <v>1</v>
      </c>
      <c r="B1" t="s">
        <v>16</v>
      </c>
    </row>
    <row r="3" spans="1:5" x14ac:dyDescent="0.25">
      <c r="B3" s="7" t="s">
        <v>17</v>
      </c>
      <c r="C3" s="7" t="s">
        <v>0</v>
      </c>
    </row>
    <row r="4" spans="1:5" x14ac:dyDescent="0.25">
      <c r="B4" t="s">
        <v>14</v>
      </c>
      <c r="D4" t="s">
        <v>15</v>
      </c>
    </row>
    <row r="5" spans="1:5" x14ac:dyDescent="0.25">
      <c r="A5" s="7" t="s">
        <v>7</v>
      </c>
      <c r="B5" t="s">
        <v>2</v>
      </c>
      <c r="C5" t="s">
        <v>3</v>
      </c>
      <c r="D5" t="s">
        <v>2</v>
      </c>
      <c r="E5" t="s">
        <v>3</v>
      </c>
    </row>
    <row r="6" spans="1:5" x14ac:dyDescent="0.25">
      <c r="A6">
        <v>1</v>
      </c>
      <c r="B6" s="8">
        <v>10</v>
      </c>
      <c r="C6" s="8">
        <v>10</v>
      </c>
      <c r="D6" s="8">
        <v>12</v>
      </c>
      <c r="E6" s="8">
        <v>12</v>
      </c>
    </row>
    <row r="7" spans="1:5" x14ac:dyDescent="0.25">
      <c r="A7">
        <v>2</v>
      </c>
      <c r="B7" s="8">
        <v>35</v>
      </c>
      <c r="C7" s="8"/>
      <c r="D7" s="8">
        <v>39</v>
      </c>
      <c r="E7" s="8"/>
    </row>
    <row r="8" spans="1:5" x14ac:dyDescent="0.25">
      <c r="A8">
        <v>3</v>
      </c>
      <c r="B8" s="8">
        <v>20</v>
      </c>
      <c r="C8" s="8"/>
      <c r="D8" s="8">
        <v>42</v>
      </c>
      <c r="E8" s="8"/>
    </row>
    <row r="9" spans="1:5" x14ac:dyDescent="0.25">
      <c r="A9" t="s">
        <v>13</v>
      </c>
      <c r="B9" s="8">
        <v>65</v>
      </c>
      <c r="C9" s="8">
        <v>10</v>
      </c>
      <c r="D9" s="8">
        <v>93</v>
      </c>
      <c r="E9" s="8">
        <v>12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C6324-B47C-4ED2-A6A3-3B64FAE78CF2}">
  <sheetPr codeName="Sheet18">
    <tabColor rgb="FF7030A0"/>
  </sheetPr>
  <dimension ref="A1:E8"/>
  <sheetViews>
    <sheetView workbookViewId="0">
      <selection activeCell="C5" sqref="C5"/>
    </sheetView>
  </sheetViews>
  <sheetFormatPr defaultRowHeight="15" x14ac:dyDescent="0.25"/>
  <cols>
    <col min="1" max="1" width="10.7109375" bestFit="1" customWidth="1"/>
    <col min="2" max="5" width="11.140625" bestFit="1" customWidth="1"/>
  </cols>
  <sheetData>
    <row r="1" spans="1:5" x14ac:dyDescent="0.25">
      <c r="A1" s="7" t="s">
        <v>1</v>
      </c>
      <c r="B1" t="s">
        <v>4</v>
      </c>
    </row>
    <row r="3" spans="1:5" x14ac:dyDescent="0.25">
      <c r="B3" s="7" t="s">
        <v>17</v>
      </c>
      <c r="C3" s="7" t="s">
        <v>0</v>
      </c>
    </row>
    <row r="4" spans="1:5" x14ac:dyDescent="0.25">
      <c r="B4" t="s">
        <v>14</v>
      </c>
      <c r="D4" t="s">
        <v>15</v>
      </c>
    </row>
    <row r="5" spans="1:5" x14ac:dyDescent="0.25">
      <c r="A5" s="7" t="s">
        <v>7</v>
      </c>
      <c r="B5" t="s">
        <v>2</v>
      </c>
      <c r="C5" t="s">
        <v>3</v>
      </c>
      <c r="D5" t="s">
        <v>2</v>
      </c>
      <c r="E5" t="s">
        <v>3</v>
      </c>
    </row>
    <row r="6" spans="1:5" x14ac:dyDescent="0.25">
      <c r="A6">
        <v>1</v>
      </c>
      <c r="B6" s="8"/>
      <c r="C6" s="8">
        <v>10</v>
      </c>
      <c r="D6" s="8"/>
      <c r="E6" s="8">
        <v>12</v>
      </c>
    </row>
    <row r="7" spans="1:5" x14ac:dyDescent="0.25">
      <c r="A7">
        <v>3</v>
      </c>
      <c r="B7" s="8">
        <v>20</v>
      </c>
      <c r="C7" s="8"/>
      <c r="D7" s="8">
        <v>42</v>
      </c>
      <c r="E7" s="8"/>
    </row>
    <row r="8" spans="1:5" x14ac:dyDescent="0.25">
      <c r="A8" t="s">
        <v>13</v>
      </c>
      <c r="B8" s="8">
        <v>20</v>
      </c>
      <c r="C8" s="8">
        <v>10</v>
      </c>
      <c r="D8" s="8">
        <v>42</v>
      </c>
      <c r="E8" s="8">
        <v>12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30161-02D4-4F16-A2D9-B996D9225B61}">
  <sheetPr codeName="Sheet19">
    <tabColor rgb="FF7030A0"/>
  </sheetPr>
  <dimension ref="A1:C8"/>
  <sheetViews>
    <sheetView tabSelected="1" topLeftCell="A3" workbookViewId="0">
      <selection activeCell="G13" sqref="G13"/>
    </sheetView>
  </sheetViews>
  <sheetFormatPr defaultRowHeight="15" x14ac:dyDescent="0.25"/>
  <cols>
    <col min="1" max="1" width="10.7109375" bestFit="1" customWidth="1"/>
    <col min="2" max="3" width="11.140625" bestFit="1" customWidth="1"/>
  </cols>
  <sheetData>
    <row r="1" spans="1:3" x14ac:dyDescent="0.25">
      <c r="A1" s="7" t="s">
        <v>1</v>
      </c>
      <c r="B1" t="s">
        <v>5</v>
      </c>
    </row>
    <row r="3" spans="1:3" x14ac:dyDescent="0.25">
      <c r="B3" s="7" t="s">
        <v>17</v>
      </c>
      <c r="C3" s="7" t="s">
        <v>0</v>
      </c>
    </row>
    <row r="4" spans="1:3" x14ac:dyDescent="0.25">
      <c r="B4" t="s">
        <v>14</v>
      </c>
      <c r="C4" t="s">
        <v>15</v>
      </c>
    </row>
    <row r="5" spans="1:3" x14ac:dyDescent="0.25">
      <c r="A5" s="7" t="s">
        <v>7</v>
      </c>
      <c r="B5" t="s">
        <v>2</v>
      </c>
      <c r="C5" t="s">
        <v>2</v>
      </c>
    </row>
    <row r="6" spans="1:3" x14ac:dyDescent="0.25">
      <c r="A6">
        <v>1</v>
      </c>
      <c r="B6" s="8">
        <v>10</v>
      </c>
      <c r="C6" s="8">
        <v>12</v>
      </c>
    </row>
    <row r="7" spans="1:3" x14ac:dyDescent="0.25">
      <c r="A7">
        <v>2</v>
      </c>
      <c r="B7" s="8">
        <v>35</v>
      </c>
      <c r="C7" s="8">
        <v>39</v>
      </c>
    </row>
    <row r="8" spans="1:3" x14ac:dyDescent="0.25">
      <c r="A8" t="s">
        <v>13</v>
      </c>
      <c r="B8" s="8">
        <v>45</v>
      </c>
      <c r="C8" s="8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Table of Contents</vt:lpstr>
      <vt:lpstr>Inbound Cost Per Factory</vt:lpstr>
      <vt:lpstr>Outbound Cost Per Customer</vt:lpstr>
      <vt:lpstr>Inbound Volume Per Factory</vt:lpstr>
      <vt:lpstr>Bag</vt:lpstr>
      <vt:lpstr>Bulk</vt:lpstr>
      <vt:lpstr>Pivot</vt:lpstr>
      <vt:lpstr>Outbound Volume Per Customer</vt:lpstr>
      <vt:lpstr>ICF</vt:lpstr>
      <vt:lpstr>ICF - Bag</vt:lpstr>
      <vt:lpstr>ICF - Bulk</vt:lpstr>
      <vt:lpstr>OCF</vt:lpstr>
      <vt:lpstr>OCF - Bag</vt:lpstr>
      <vt:lpstr>OCF - Bulk</vt:lpstr>
      <vt:lpstr>OCP</vt:lpstr>
      <vt:lpstr>OCP - Bag</vt:lpstr>
      <vt:lpstr>OCP - Bulk</vt:lpstr>
      <vt:lpstr>OVF</vt:lpstr>
      <vt:lpstr>OVF - Bag</vt:lpstr>
      <vt:lpstr>OVF - Bulk</vt:lpstr>
      <vt:lpstr>OVP</vt:lpstr>
      <vt:lpstr>OVP - Bag</vt:lpstr>
      <vt:lpstr>OVP - Bulk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Minh, Monty (Pham Nhat Minh | General)</cp:lastModifiedBy>
  <dcterms:created xsi:type="dcterms:W3CDTF">2022-06-01T15:15:29Z</dcterms:created>
  <dcterms:modified xsi:type="dcterms:W3CDTF">2022-06-06T10:56:15Z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RK_MODE_0292">
    <vt:i4>1</vt:i4>
  </property>
</Properties>
</file>